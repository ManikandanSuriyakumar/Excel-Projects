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i_Portfolio\Excel_Projects\Sales_Data_Exploration\"/>
    </mc:Choice>
  </mc:AlternateContent>
  <xr:revisionPtr revIDLastSave="0" documentId="13_ncr:1_{E51710AF-25A8-4181-BFA8-353A1F581350}" xr6:coauthVersionLast="47" xr6:coauthVersionMax="47" xr10:uidLastSave="{00000000-0000-0000-0000-000000000000}"/>
  <bookViews>
    <workbookView xWindow="-108" yWindow="-108" windowWidth="23256" windowHeight="12456" tabRatio="777" xr2:uid="{D316CDA9-901C-489C-8901-42D27F55E62A}"/>
  </bookViews>
  <sheets>
    <sheet name="Sales_DB_Dataset" sheetId="1" r:id="rId1"/>
    <sheet name="Sales_DB(Copy)" sheetId="2" r:id="rId2"/>
    <sheet name="Aggregate_Functions" sheetId="3" r:id="rId3"/>
    <sheet name="Logical_IF" sheetId="5" r:id="rId4"/>
    <sheet name="Conditional_Functions" sheetId="6" r:id="rId5"/>
    <sheet name="Text_Functions " sheetId="7" r:id="rId6"/>
  </sheets>
  <definedNames>
    <definedName name="ExternalData_1" localSheetId="1" hidden="1">'Sales_DB(Copy)'!$A$1:$F$35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I2" i="2"/>
  <c r="H2" i="2"/>
  <c r="C8" i="6"/>
  <c r="C7" i="6"/>
  <c r="G2" i="2"/>
  <c r="C16" i="3"/>
  <c r="C15" i="3"/>
  <c r="C9" i="3"/>
  <c r="C8" i="3"/>
  <c r="C7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007B6C-437F-4968-9D24-A359C9DD294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<sst xmlns="http://schemas.openxmlformats.org/spreadsheetml/2006/main" count="329" uniqueCount="126">
  <si>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</si>
  <si>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</si>
  <si>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</si>
  <si>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</si>
  <si>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</si>
  <si>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</si>
  <si>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</si>
  <si>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</si>
  <si>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</si>
  <si>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</si>
  <si>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</si>
  <si>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</si>
  <si>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</si>
  <si>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</si>
  <si>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</si>
  <si>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</si>
  <si>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</si>
  <si>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</si>
  <si>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</si>
  <si>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</si>
  <si>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</si>
  <si>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</si>
  <si>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</si>
  <si>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</si>
  <si>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</si>
  <si>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</si>
  <si>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</si>
  <si>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</si>
  <si>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</si>
  <si>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</si>
  <si>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</si>
  <si>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</si>
  <si>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</si>
  <si>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</si>
  <si>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</si>
  <si>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</si>
  <si>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</si>
  <si>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</si>
  <si>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</si>
  <si>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</si>
  <si>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</si>
  <si>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</si>
  <si>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</si>
  <si>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</si>
  <si>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</si>
  <si>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</si>
  <si>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</si>
  <si>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</si>
  <si>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</si>
  <si>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</si>
  <si>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</si>
  <si>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</si>
  <si>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</si>
  <si>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</si>
  <si>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</si>
  <si>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</si>
  <si>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</si>
  <si>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</si>
  <si>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</si>
  <si>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</si>
  <si>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</si>
  <si>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</si>
  <si>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</si>
  <si>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</si>
  <si>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</si>
  <si>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</si>
  <si>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</si>
  <si>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</si>
  <si>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</si>
  <si>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</si>
  <si>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</si>
  <si>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</si>
  <si>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</si>
  <si>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</si>
  <si>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</si>
  <si>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</si>
  <si>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</si>
  <si>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</si>
  <si>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</si>
  <si>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</si>
  <si>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</si>
  <si>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</si>
  <si>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</si>
  <si>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</si>
  <si>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</si>
  <si>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</si>
  <si>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</si>
  <si>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</si>
  <si>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</si>
  <si>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</si>
  <si>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</si>
  <si>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</si>
  <si>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</si>
  <si>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SUM(), COUNT(), AVERAGE()</t>
  </si>
  <si>
    <t>Basic Data Exploration - Aggregate Functions</t>
  </si>
  <si>
    <t>Calculate the total price of all products in the dataset.</t>
  </si>
  <si>
    <t>Determine how many products exist in the dataset.</t>
  </si>
  <si>
    <t>Calculate the average price of the products.</t>
  </si>
  <si>
    <t>No</t>
  </si>
  <si>
    <t>Question</t>
  </si>
  <si>
    <t>Result</t>
  </si>
  <si>
    <t xml:space="preserve">2. MIN() and MAX() </t>
  </si>
  <si>
    <t>Identify the minimum price among all products.</t>
  </si>
  <si>
    <t>Identify the maximum price among all products.</t>
  </si>
  <si>
    <t>Basic Data Exploration - Logical Functions</t>
  </si>
  <si>
    <t>3. IF()</t>
  </si>
  <si>
    <t>Create a new column named Price Range.</t>
  </si>
  <si>
    <t>Use the IF function to categorize products based on their price:                                    1. If Price ≥ $500 → classify as High Price                                                                                2. If Price &lt; $500 → classify as Standard Price</t>
  </si>
  <si>
    <t>Price Range</t>
  </si>
  <si>
    <r>
      <rPr>
        <b/>
        <i/>
        <sz val="11"/>
        <color theme="1"/>
        <rFont val="Aptos Display"/>
        <family val="2"/>
        <scheme val="major"/>
      </rPr>
      <t xml:space="preserve">"Price Range" </t>
    </r>
    <r>
      <rPr>
        <b/>
        <sz val="11"/>
        <color theme="1"/>
        <rFont val="Aptos Display"/>
        <family val="2"/>
        <scheme val="major"/>
      </rPr>
      <t>Column                                  Refer: [Sales_DB(Copy)]</t>
    </r>
  </si>
  <si>
    <t>Basic Data Exploration - Conditional Functions</t>
  </si>
  <si>
    <t>4. SUMIF() and COUNTIF()</t>
  </si>
  <si>
    <t>Use the SUMIF function to calculate the total price of products in the Electronics category</t>
  </si>
  <si>
    <t>Use the COUNTIF function to determine the number of products with a price less than $100.</t>
  </si>
  <si>
    <t>Basic Data Exploration - Text Functions</t>
  </si>
  <si>
    <t>5. LEFT(), RIGHT(), MID()</t>
  </si>
  <si>
    <t>Use text functions to extract information from the Product ID column.</t>
  </si>
  <si>
    <t>Create a new column named Day with the first 2 characters of each 'Product ID' using the LEFT function.</t>
  </si>
  <si>
    <t>Create a new column named Country Code by extracting the last 2
characters from the 'Product ID' column using the RIGHT function.</t>
  </si>
  <si>
    <t>Create a new column named Month by extracting the 4th to 6th characters from the 'Product ID' column using the MID function.</t>
  </si>
  <si>
    <t>Day</t>
  </si>
  <si>
    <t>Country Code</t>
  </si>
  <si>
    <t>Month</t>
  </si>
  <si>
    <r>
      <rPr>
        <b/>
        <i/>
        <sz val="11"/>
        <color theme="1"/>
        <rFont val="Aptos Display"/>
        <family val="2"/>
        <scheme val="major"/>
      </rPr>
      <t xml:space="preserve">"Day" </t>
    </r>
    <r>
      <rPr>
        <b/>
        <sz val="11"/>
        <color theme="1"/>
        <rFont val="Aptos Display"/>
        <family val="2"/>
        <scheme val="major"/>
      </rPr>
      <t>Column                                                                      Refer: [Sales_DB(Copy)]</t>
    </r>
  </si>
  <si>
    <r>
      <rPr>
        <b/>
        <i/>
        <sz val="11"/>
        <color theme="1"/>
        <rFont val="Aptos Display"/>
        <family val="2"/>
        <scheme val="major"/>
      </rPr>
      <t>"Country Code"</t>
    </r>
    <r>
      <rPr>
        <b/>
        <sz val="11"/>
        <color theme="1"/>
        <rFont val="Aptos Display"/>
        <family val="2"/>
        <scheme val="major"/>
      </rPr>
      <t xml:space="preserve"> Column                                  Refer: [Sales_DB(Copy)]</t>
    </r>
  </si>
  <si>
    <r>
      <rPr>
        <b/>
        <i/>
        <sz val="11"/>
        <color theme="1"/>
        <rFont val="Aptos Display"/>
        <family val="2"/>
        <scheme val="major"/>
      </rPr>
      <t>"Month"</t>
    </r>
    <r>
      <rPr>
        <b/>
        <sz val="11"/>
        <color theme="1"/>
        <rFont val="Aptos Display"/>
        <family val="2"/>
        <scheme val="major"/>
      </rPr>
      <t xml:space="preserve"> Column                                                        Refer: [Sales_DB(Copy)]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</si>
</sst>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22"/>
      <color theme="3" tint="9.9978637043366805E-2"/>
      <name val="Aptos Display"/>
      <family val="2"/>
    </font>
    <font>
      <b/>
      <sz val="16"/>
      <color rgb="FFC00000"/>
      <name val="Aptos Display"/>
      <family val="2"/>
    </font>
    <font>
      <b/>
      <sz val="11"/>
      <color theme="0"/>
      <name val="Aptos Display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22"/>
      <color theme="3" tint="9.9978637043366805E-2"/>
      <name val="Aptos Display"/>
      <family val="2"/>
      <scheme val="major"/>
    </font>
    <font>
      <b/>
      <sz val="16"/>
      <color rgb="FFC00000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i/>
      <sz val="11"/>
      <color theme="1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2"/>
      <color theme="0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theme="9" tint="-0.249977111117893"/>
        <bgColor rgb="FF4DD0E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0" xfId="0" applyFont="1"/>
    <xf numFmtId="0" fontId="3" fillId="2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7" fillId="7" borderId="11" xfId="0" applyFont="1" applyFill="1" applyBorder="1"/>
    <xf numFmtId="0" fontId="7" fillId="7" borderId="14" xfId="0" applyFont="1" applyFill="1" applyBorder="1"/>
    <xf numFmtId="0" fontId="7" fillId="7" borderId="12" xfId="0" applyFont="1" applyFill="1" applyBorder="1"/>
    <xf numFmtId="0" fontId="7" fillId="7" borderId="13" xfId="0" applyFont="1" applyFill="1" applyBorder="1"/>
    <xf numFmtId="0" fontId="7" fillId="7" borderId="15" xfId="0" applyFont="1" applyFill="1" applyBorder="1"/>
    <xf numFmtId="0" fontId="8" fillId="8" borderId="12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0" fontId="6" fillId="6" borderId="24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7" borderId="17" xfId="0" applyFont="1" applyFill="1" applyBorder="1"/>
    <xf numFmtId="0" fontId="12" fillId="7" borderId="15" xfId="0" applyFont="1" applyFill="1" applyBorder="1" applyAlignment="1">
      <alignment wrapText="1"/>
    </xf>
    <xf numFmtId="0" fontId="12" fillId="7" borderId="11" xfId="0" applyFont="1" applyFill="1" applyBorder="1"/>
    <xf numFmtId="0" fontId="13" fillId="8" borderId="11" xfId="0" applyFont="1" applyFill="1" applyBorder="1" applyAlignment="1">
      <alignment horizontal="center"/>
    </xf>
    <xf numFmtId="0" fontId="12" fillId="7" borderId="13" xfId="0" applyFont="1" applyFill="1" applyBorder="1"/>
    <xf numFmtId="0" fontId="13" fillId="8" borderId="1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2" fillId="7" borderId="12" xfId="0" applyFont="1" applyFill="1" applyBorder="1"/>
    <xf numFmtId="0" fontId="12" fillId="7" borderId="11" xfId="0" applyFont="1" applyFill="1" applyBorder="1" applyAlignment="1">
      <alignment wrapText="1"/>
    </xf>
    <xf numFmtId="0" fontId="12" fillId="7" borderId="13" xfId="0" applyFont="1" applyFill="1" applyBorder="1" applyAlignment="1">
      <alignment wrapText="1"/>
    </xf>
    <xf numFmtId="0" fontId="13" fillId="8" borderId="27" xfId="0" applyFont="1" applyFill="1" applyBorder="1" applyAlignment="1">
      <alignment horizontal="center"/>
    </xf>
    <xf numFmtId="0" fontId="13" fillId="8" borderId="28" xfId="0" applyFont="1" applyFill="1" applyBorder="1" applyAlignment="1">
      <alignment horizontal="center"/>
    </xf>
    <xf numFmtId="0" fontId="12" fillId="7" borderId="14" xfId="0" applyFont="1" applyFill="1" applyBorder="1" applyAlignment="1">
      <alignment wrapText="1"/>
    </xf>
    <xf numFmtId="0" fontId="12" fillId="7" borderId="16" xfId="0" applyFont="1" applyFill="1" applyBorder="1"/>
    <xf numFmtId="0" fontId="12" fillId="7" borderId="17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13" fillId="8" borderId="16" xfId="0" applyFont="1" applyFill="1" applyBorder="1" applyAlignment="1">
      <alignment horizontal="center" wrapText="1"/>
    </xf>
    <xf numFmtId="0" fontId="13" fillId="8" borderId="12" xfId="0" applyFont="1" applyFill="1" applyBorder="1" applyAlignment="1">
      <alignment horizontal="center" wrapText="1"/>
    </xf>
    <xf numFmtId="0" fontId="13" fillId="8" borderId="13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/>
    </xf>
    <xf numFmtId="0" fontId="12" fillId="7" borderId="29" xfId="0" applyFont="1" applyFill="1" applyBorder="1" applyAlignment="1">
      <alignment horizontal="center" vertical="center"/>
    </xf>
    <xf numFmtId="0" fontId="15" fillId="7" borderId="24" xfId="0" applyFont="1" applyFill="1" applyBorder="1" applyAlignment="1">
      <alignment horizontal="center" vertical="center"/>
    </xf>
    <xf numFmtId="0" fontId="16" fillId="7" borderId="25" xfId="0" applyFont="1" applyFill="1" applyBorder="1" applyAlignment="1">
      <alignment horizontal="center" vertical="center"/>
    </xf>
    <xf numFmtId="0" fontId="16" fillId="7" borderId="26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b/>
        <i val="0"/>
        <color theme="9" tint="-0.499984740745262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C00000"/>
      </font>
    </dxf>
    <dxf>
      <font>
        <color rgb="FFC00000"/>
      </font>
    </dxf>
    <dxf>
      <font>
        <color auto="1"/>
      </font>
    </dxf>
    <dxf>
      <fill>
        <patternFill>
          <bgColor rgb="FF92D050"/>
        </patternFill>
      </fill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theme="9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D410B7-CAE1-45B2-A7B1-8F6E4FACEEB6}" autoFormatId="16" applyNumberFormats="0" applyBorderFormats="0" applyFontFormats="0" applyPatternFormats="0" applyAlignmentFormats="0" applyWidthHeightFormats="0">
  <queryTableRefresh nextId="11" unboundColumnsRight="4">
    <queryTableFields count="10">
      <queryTableField id="1" name="Product ID" tableColumnId="1"/>
      <queryTableField id="2" name="Product Name" tableColumnId="2"/>
      <queryTableField id="3" name="Brand Name" tableColumnId="3"/>
      <queryTableField id="4" name="Category" tableColumnId="4"/>
      <queryTableField id="5" name="Price ($)" tableColumnId="5"/>
      <queryTableField id="6" name="Quantity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69DFF-836D-46F1-89DE-BECA4B4660FD}" name="Table1" displayName="Table1" ref="A1:F35" totalsRowShown="0" headerRowDxfId="22" dataDxfId="21">
  <autoFilter ref="A1:F35" xr:uid="{BB769DFF-836D-46F1-89DE-BECA4B4660FD}"/>
  <tableColumns count="6">
    <tableColumn id="1" xr3:uid="{A424AAB9-F4AE-4CB8-B797-DF29B9BAA28D}" name="Product ID" dataDxfId="20"/>
    <tableColumn id="2" xr3:uid="{6E3C62D0-FFEB-4BCC-B8E7-CA1BB394C351}" name="Product Name" dataDxfId="19"/>
    <tableColumn id="3" xr3:uid="{E6A1FDE9-8750-4E1B-94C1-624D5607F180}" name="Brand Name" dataDxfId="18"/>
    <tableColumn id="4" xr3:uid="{AB4E782B-91AE-4982-A05C-4C329342DF84}" name="Price ($)" dataDxfId="17"/>
    <tableColumn id="5" xr3:uid="{1275FAB3-D794-42C3-885E-B2C944320A28}" name="Quantity" dataDxfId="16"/>
    <tableColumn id="6" xr3:uid="{CB39750A-0BF4-46BA-A75D-A8B26DD17EB2}" name="Category" dataDxfId="15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DF9487-6ABF-47D4-A4B8-7E56411AD1C4}" name="Sales_DB" displayName="Sales_DB" ref="A1:J35" tableType="queryTable" totalsRowShown="0" headerRowDxfId="14">
  <autoFilter ref="A1:J35" xr:uid="{37DF9487-6ABF-47D4-A4B8-7E56411AD1C4}"/>
  <tableColumns count="10">
    <tableColumn id="1" xr3:uid="{F04B35F9-50D6-4DEC-8A31-E9530088512B}" uniqueName="1" name="Product ID" queryTableFieldId="1" dataDxfId="13"/>
    <tableColumn id="2" xr3:uid="{940981EC-51F6-49FE-AD97-3F15308A6302}" uniqueName="2" name="Product Name" queryTableFieldId="2" dataDxfId="12"/>
    <tableColumn id="3" xr3:uid="{7386A35C-A72C-4301-B376-B9B7617BB717}" uniqueName="3" name="Brand Name" queryTableFieldId="3" dataDxfId="11"/>
    <tableColumn id="4" xr3:uid="{D0B43CF1-A3A4-4DB7-AF14-6E1132263DC6}" uniqueName="4" name="Category" queryTableFieldId="4" dataDxfId="10"/>
    <tableColumn id="5" xr3:uid="{AFE54B0D-8ED3-49DC-AA7E-F62E4A7218B6}" uniqueName="5" name="Price ($)" queryTableFieldId="5"/>
    <tableColumn id="6" xr3:uid="{907B84EC-7822-4CCF-9330-29A240D77630}" uniqueName="6" name="Quantity" queryTableFieldId="6"/>
    <tableColumn id="7" xr3:uid="{436CF330-5014-48E2-8889-509686044945}" uniqueName="7" name="Price Range" queryTableFieldId="7" dataDxfId="9">
      <calculatedColumnFormula>IF(Sales_DB[[#This Row],[Price ($)]]&gt;=500,"High Price","Standard Price")</calculatedColumnFormula>
    </tableColumn>
    <tableColumn id="8" xr3:uid="{0A6D0520-F643-4C87-A80B-505A3FF6587E}" uniqueName="8" name="Day" queryTableFieldId="8" dataDxfId="8">
      <calculatedColumnFormula>LEFT(Sales_DB[[#This Row],[Product ID]],2)</calculatedColumnFormula>
    </tableColumn>
    <tableColumn id="9" xr3:uid="{9421D254-F1B5-42CA-8067-04B0B199ED09}" uniqueName="9" name="Country Code" queryTableFieldId="9" dataDxfId="7">
      <calculatedColumnFormula>RIGHT(Sales_DB[[#This Row],[Product ID]],2)</calculatedColumnFormula>
    </tableColumn>
    <tableColumn id="10" xr3:uid="{1FB587E3-F549-4C5A-8A81-A89BE32D914A}" uniqueName="10" name="Month" queryTableFieldId="10" dataDxfId="6">
      <calculatedColumnFormula>MID(Sales_DB[[#This Row],[Product ID]],4,3)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56FE-36A2-4071-A0B4-018FB1439004}">
  <sheetPr>
    <tabColor theme="3" tint="0.249977111117893"/>
  </sheetPr>
  <dimension ref="A1:F35"/>
  <sheetViews>
    <sheetView tabSelected="1" workbookViewId="0">
      <selection activeCell="G19" sqref="G19"/>
    </sheetView>
  </sheetViews>
  <sheetFormatPr defaultRowHeight="14.4" x14ac:dyDescent="0.3"/>
  <cols>
    <col min="1" max="1" width="15" customWidth="1"/>
    <col min="2" max="2" width="19" customWidth="1"/>
    <col min="3" max="3" width="18.5546875" customWidth="1"/>
    <col min="4" max="4" width="15" customWidth="1"/>
    <col min="5" max="5" width="14.21875" customWidth="1"/>
    <col min="6" max="6" width="15.66406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1000</v>
      </c>
      <c r="E2" s="1">
        <v>30</v>
      </c>
      <c r="F2" s="1" t="s">
        <v>9</v>
      </c>
    </row>
    <row r="3" spans="1:6" x14ac:dyDescent="0.3">
      <c r="A3" s="2" t="s">
        <v>10</v>
      </c>
      <c r="B3" s="2" t="s">
        <v>11</v>
      </c>
      <c r="C3" s="2" t="s">
        <v>12</v>
      </c>
      <c r="D3" s="2">
        <v>80</v>
      </c>
      <c r="E3" s="2">
        <v>15</v>
      </c>
      <c r="F3" s="2" t="s">
        <v>13</v>
      </c>
    </row>
    <row r="4" spans="1:6" x14ac:dyDescent="0.3">
      <c r="A4" s="1" t="s">
        <v>14</v>
      </c>
      <c r="B4" s="1" t="s">
        <v>15</v>
      </c>
      <c r="C4" s="1" t="s">
        <v>16</v>
      </c>
      <c r="D4" s="1">
        <v>130</v>
      </c>
      <c r="E4" s="1">
        <v>40</v>
      </c>
      <c r="F4" s="1" t="s">
        <v>17</v>
      </c>
    </row>
    <row r="5" spans="1:6" x14ac:dyDescent="0.3">
      <c r="A5" s="2" t="s">
        <v>18</v>
      </c>
      <c r="B5" s="2" t="s">
        <v>19</v>
      </c>
      <c r="C5" s="2" t="s">
        <v>20</v>
      </c>
      <c r="D5" s="2">
        <v>900</v>
      </c>
      <c r="E5" s="2">
        <v>25</v>
      </c>
      <c r="F5" s="2" t="s">
        <v>9</v>
      </c>
    </row>
    <row r="6" spans="1:6" x14ac:dyDescent="0.3">
      <c r="A6" s="1" t="s">
        <v>21</v>
      </c>
      <c r="B6" s="1" t="s">
        <v>22</v>
      </c>
      <c r="C6" s="1" t="s">
        <v>23</v>
      </c>
      <c r="D6" s="1">
        <v>70</v>
      </c>
      <c r="E6" s="1">
        <v>20</v>
      </c>
      <c r="F6" s="1" t="s">
        <v>24</v>
      </c>
    </row>
    <row r="7" spans="1:6" x14ac:dyDescent="0.3">
      <c r="A7" s="2" t="s">
        <v>25</v>
      </c>
      <c r="B7" s="2" t="s">
        <v>26</v>
      </c>
      <c r="C7" s="2" t="s">
        <v>27</v>
      </c>
      <c r="D7" s="2">
        <v>200</v>
      </c>
      <c r="E7" s="2">
        <v>45</v>
      </c>
      <c r="F7" s="2" t="s">
        <v>9</v>
      </c>
    </row>
    <row r="8" spans="1:6" x14ac:dyDescent="0.3">
      <c r="A8" s="1" t="s">
        <v>28</v>
      </c>
      <c r="B8" s="1" t="s">
        <v>29</v>
      </c>
      <c r="C8" s="1" t="s">
        <v>30</v>
      </c>
      <c r="D8" s="1">
        <v>30</v>
      </c>
      <c r="E8" s="1">
        <v>5</v>
      </c>
      <c r="F8" s="1" t="s">
        <v>13</v>
      </c>
    </row>
    <row r="9" spans="1:6" x14ac:dyDescent="0.3">
      <c r="A9" s="2" t="s">
        <v>31</v>
      </c>
      <c r="B9" s="2" t="s">
        <v>32</v>
      </c>
      <c r="C9" s="2" t="s">
        <v>33</v>
      </c>
      <c r="D9" s="2">
        <v>90</v>
      </c>
      <c r="E9" s="2">
        <v>35</v>
      </c>
      <c r="F9" s="2" t="s">
        <v>17</v>
      </c>
    </row>
    <row r="10" spans="1:6" x14ac:dyDescent="0.3">
      <c r="A10" s="1" t="s">
        <v>34</v>
      </c>
      <c r="B10" s="1" t="s">
        <v>35</v>
      </c>
      <c r="C10" s="1" t="s">
        <v>36</v>
      </c>
      <c r="D10" s="1">
        <v>500</v>
      </c>
      <c r="E10" s="1">
        <v>50</v>
      </c>
      <c r="F10" s="1" t="s">
        <v>9</v>
      </c>
    </row>
    <row r="11" spans="1:6" x14ac:dyDescent="0.3">
      <c r="A11" s="2" t="s">
        <v>37</v>
      </c>
      <c r="B11" s="2" t="s">
        <v>38</v>
      </c>
      <c r="C11" s="2" t="s">
        <v>39</v>
      </c>
      <c r="D11" s="2">
        <v>130</v>
      </c>
      <c r="E11" s="2">
        <v>10</v>
      </c>
      <c r="F11" s="2" t="s">
        <v>24</v>
      </c>
    </row>
    <row r="12" spans="1:6" x14ac:dyDescent="0.3">
      <c r="A12" s="1" t="s">
        <v>40</v>
      </c>
      <c r="B12" s="1" t="s">
        <v>7</v>
      </c>
      <c r="C12" s="1" t="s">
        <v>41</v>
      </c>
      <c r="D12" s="1">
        <v>950</v>
      </c>
      <c r="E12" s="1">
        <v>25</v>
      </c>
      <c r="F12" s="1" t="s">
        <v>9</v>
      </c>
    </row>
    <row r="13" spans="1:6" x14ac:dyDescent="0.3">
      <c r="A13" s="2" t="s">
        <v>42</v>
      </c>
      <c r="B13" s="2" t="s">
        <v>11</v>
      </c>
      <c r="C13" s="2" t="s">
        <v>30</v>
      </c>
      <c r="D13" s="2">
        <v>90</v>
      </c>
      <c r="E13" s="2">
        <v>40</v>
      </c>
      <c r="F13" s="2" t="s">
        <v>13</v>
      </c>
    </row>
    <row r="14" spans="1:6" x14ac:dyDescent="0.3">
      <c r="A14" s="1" t="s">
        <v>43</v>
      </c>
      <c r="B14" s="1" t="s">
        <v>15</v>
      </c>
      <c r="C14" s="1" t="s">
        <v>44</v>
      </c>
      <c r="D14" s="1">
        <v>120</v>
      </c>
      <c r="E14" s="1">
        <v>35</v>
      </c>
      <c r="F14" s="1" t="s">
        <v>17</v>
      </c>
    </row>
    <row r="15" spans="1:6" x14ac:dyDescent="0.3">
      <c r="A15" s="2" t="s">
        <v>45</v>
      </c>
      <c r="B15" s="2" t="s">
        <v>46</v>
      </c>
      <c r="C15" s="2" t="s">
        <v>47</v>
      </c>
      <c r="D15" s="2">
        <v>150</v>
      </c>
      <c r="E15" s="2">
        <v>15</v>
      </c>
      <c r="F15" s="2" t="s">
        <v>9</v>
      </c>
    </row>
    <row r="16" spans="1:6" x14ac:dyDescent="0.3">
      <c r="A16" s="1" t="s">
        <v>48</v>
      </c>
      <c r="B16" s="1" t="s">
        <v>26</v>
      </c>
      <c r="C16" s="1" t="s">
        <v>49</v>
      </c>
      <c r="D16" s="1">
        <v>250</v>
      </c>
      <c r="E16" s="1">
        <v>20</v>
      </c>
      <c r="F16" s="1" t="s">
        <v>9</v>
      </c>
    </row>
    <row r="17" spans="1:6" x14ac:dyDescent="0.3">
      <c r="A17" s="2" t="s">
        <v>50</v>
      </c>
      <c r="B17" s="2" t="s">
        <v>51</v>
      </c>
      <c r="C17" s="2" t="s">
        <v>52</v>
      </c>
      <c r="D17" s="2">
        <v>50</v>
      </c>
      <c r="E17" s="2">
        <v>35</v>
      </c>
      <c r="F17" s="2" t="s">
        <v>53</v>
      </c>
    </row>
    <row r="18" spans="1:6" x14ac:dyDescent="0.3">
      <c r="A18" s="1" t="s">
        <v>54</v>
      </c>
      <c r="B18" s="1" t="s">
        <v>46</v>
      </c>
      <c r="C18" s="1" t="s">
        <v>55</v>
      </c>
      <c r="D18" s="1">
        <v>160</v>
      </c>
      <c r="E18" s="1">
        <v>15</v>
      </c>
      <c r="F18" s="1" t="s">
        <v>9</v>
      </c>
    </row>
    <row r="19" spans="1:6" x14ac:dyDescent="0.3">
      <c r="A19" s="2" t="s">
        <v>56</v>
      </c>
      <c r="B19" s="2" t="s">
        <v>7</v>
      </c>
      <c r="C19" s="2" t="s">
        <v>57</v>
      </c>
      <c r="D19" s="2">
        <v>980</v>
      </c>
      <c r="E19" s="2">
        <v>10</v>
      </c>
      <c r="F19" s="2" t="s">
        <v>9</v>
      </c>
    </row>
    <row r="20" spans="1:6" x14ac:dyDescent="0.3">
      <c r="A20" s="1" t="s">
        <v>58</v>
      </c>
      <c r="B20" s="1" t="s">
        <v>59</v>
      </c>
      <c r="C20" s="1" t="s">
        <v>60</v>
      </c>
      <c r="D20" s="1">
        <v>150</v>
      </c>
      <c r="E20" s="1">
        <v>15</v>
      </c>
      <c r="F20" s="1" t="s">
        <v>13</v>
      </c>
    </row>
    <row r="21" spans="1:6" x14ac:dyDescent="0.3">
      <c r="A21" s="2" t="s">
        <v>61</v>
      </c>
      <c r="B21" s="2" t="s">
        <v>62</v>
      </c>
      <c r="C21" s="2" t="s">
        <v>63</v>
      </c>
      <c r="D21" s="2">
        <v>200</v>
      </c>
      <c r="E21" s="2">
        <v>10</v>
      </c>
      <c r="F21" s="2" t="s">
        <v>24</v>
      </c>
    </row>
    <row r="22" spans="1:6" x14ac:dyDescent="0.3">
      <c r="A22" s="1" t="s">
        <v>64</v>
      </c>
      <c r="B22" s="1" t="s">
        <v>65</v>
      </c>
      <c r="C22" s="1" t="s">
        <v>66</v>
      </c>
      <c r="D22" s="1">
        <v>700</v>
      </c>
      <c r="E22" s="1">
        <v>50</v>
      </c>
      <c r="F22" s="1" t="s">
        <v>9</v>
      </c>
    </row>
    <row r="23" spans="1:6" x14ac:dyDescent="0.3">
      <c r="A23" s="2" t="s">
        <v>67</v>
      </c>
      <c r="B23" s="2" t="s">
        <v>68</v>
      </c>
      <c r="C23" s="2" t="s">
        <v>69</v>
      </c>
      <c r="D23" s="2">
        <v>80</v>
      </c>
      <c r="E23" s="2">
        <v>20</v>
      </c>
      <c r="F23" s="2" t="s">
        <v>17</v>
      </c>
    </row>
    <row r="24" spans="1:6" x14ac:dyDescent="0.3">
      <c r="A24" s="1" t="s">
        <v>70</v>
      </c>
      <c r="B24" s="1" t="s">
        <v>71</v>
      </c>
      <c r="C24" s="1" t="s">
        <v>72</v>
      </c>
      <c r="D24" s="1">
        <v>150</v>
      </c>
      <c r="E24" s="1">
        <v>30</v>
      </c>
      <c r="F24" s="1" t="s">
        <v>9</v>
      </c>
    </row>
    <row r="25" spans="1:6" x14ac:dyDescent="0.3">
      <c r="A25" s="2" t="s">
        <v>50</v>
      </c>
      <c r="B25" s="2" t="s">
        <v>51</v>
      </c>
      <c r="C25" s="2" t="s">
        <v>52</v>
      </c>
      <c r="D25" s="2">
        <v>50</v>
      </c>
      <c r="E25" s="2">
        <v>35</v>
      </c>
      <c r="F25" s="2" t="s">
        <v>53</v>
      </c>
    </row>
    <row r="26" spans="1:6" x14ac:dyDescent="0.3">
      <c r="A26" s="1" t="s">
        <v>73</v>
      </c>
      <c r="B26" s="1" t="s">
        <v>19</v>
      </c>
      <c r="C26" s="1" t="s">
        <v>74</v>
      </c>
      <c r="D26" s="1">
        <v>800</v>
      </c>
      <c r="E26" s="1">
        <v>45</v>
      </c>
      <c r="F26" s="1" t="s">
        <v>9</v>
      </c>
    </row>
    <row r="27" spans="1:6" x14ac:dyDescent="0.3">
      <c r="A27" s="2" t="s">
        <v>75</v>
      </c>
      <c r="B27" s="2" t="s">
        <v>59</v>
      </c>
      <c r="C27" s="2" t="s">
        <v>76</v>
      </c>
      <c r="D27" s="2">
        <v>130</v>
      </c>
      <c r="E27" s="2">
        <v>25</v>
      </c>
      <c r="F27" s="2" t="s">
        <v>13</v>
      </c>
    </row>
    <row r="28" spans="1:6" x14ac:dyDescent="0.3">
      <c r="A28" s="1" t="s">
        <v>77</v>
      </c>
      <c r="B28" s="1" t="s">
        <v>32</v>
      </c>
      <c r="C28" s="1" t="s">
        <v>78</v>
      </c>
      <c r="D28" s="1">
        <v>400</v>
      </c>
      <c r="E28" s="1">
        <v>40</v>
      </c>
      <c r="F28" s="1" t="s">
        <v>17</v>
      </c>
    </row>
    <row r="29" spans="1:6" x14ac:dyDescent="0.3">
      <c r="A29" s="2" t="s">
        <v>48</v>
      </c>
      <c r="B29" s="2" t="s">
        <v>26</v>
      </c>
      <c r="C29" s="2" t="s">
        <v>49</v>
      </c>
      <c r="D29" s="2">
        <v>230</v>
      </c>
      <c r="E29" s="2">
        <v>20</v>
      </c>
      <c r="F29" s="2" t="s">
        <v>9</v>
      </c>
    </row>
    <row r="30" spans="1:6" x14ac:dyDescent="0.3">
      <c r="A30" s="1" t="s">
        <v>79</v>
      </c>
      <c r="B30" s="1" t="s">
        <v>80</v>
      </c>
      <c r="C30" s="1" t="s">
        <v>81</v>
      </c>
      <c r="D30" s="1">
        <v>60</v>
      </c>
      <c r="E30" s="1">
        <v>30</v>
      </c>
      <c r="F30" s="1" t="s">
        <v>13</v>
      </c>
    </row>
    <row r="31" spans="1:6" x14ac:dyDescent="0.3">
      <c r="A31" s="2" t="s">
        <v>82</v>
      </c>
      <c r="B31" s="2" t="s">
        <v>83</v>
      </c>
      <c r="C31" s="2" t="s">
        <v>84</v>
      </c>
      <c r="D31" s="2">
        <v>40</v>
      </c>
      <c r="E31" s="2">
        <v>10</v>
      </c>
      <c r="F31" s="2" t="s">
        <v>17</v>
      </c>
    </row>
    <row r="32" spans="1:6" x14ac:dyDescent="0.3">
      <c r="A32" s="1" t="s">
        <v>85</v>
      </c>
      <c r="B32" s="1" t="s">
        <v>71</v>
      </c>
      <c r="C32" s="1" t="s">
        <v>86</v>
      </c>
      <c r="D32" s="1">
        <v>130</v>
      </c>
      <c r="E32" s="1">
        <v>5</v>
      </c>
      <c r="F32" s="1" t="s">
        <v>9</v>
      </c>
    </row>
    <row r="33" spans="1:6" x14ac:dyDescent="0.3">
      <c r="A33" s="2" t="s">
        <v>87</v>
      </c>
      <c r="B33" s="2" t="s">
        <v>88</v>
      </c>
      <c r="C33" s="2" t="s">
        <v>89</v>
      </c>
      <c r="D33" s="2">
        <v>50</v>
      </c>
      <c r="E33" s="2">
        <v>50</v>
      </c>
      <c r="F33" s="2" t="s">
        <v>13</v>
      </c>
    </row>
    <row r="34" spans="1:6" x14ac:dyDescent="0.3">
      <c r="A34" s="1" t="s">
        <v>40</v>
      </c>
      <c r="B34" s="1" t="s">
        <v>7</v>
      </c>
      <c r="C34" s="1" t="s">
        <v>41</v>
      </c>
      <c r="D34" s="1">
        <v>950</v>
      </c>
      <c r="E34" s="1">
        <v>25</v>
      </c>
      <c r="F34" s="1" t="s">
        <v>9</v>
      </c>
    </row>
    <row r="35" spans="1:6" x14ac:dyDescent="0.3">
      <c r="A35" s="2" t="s">
        <v>90</v>
      </c>
      <c r="B35" s="2" t="s">
        <v>91</v>
      </c>
      <c r="C35" s="2" t="s">
        <v>92</v>
      </c>
      <c r="D35" s="2">
        <v>100</v>
      </c>
      <c r="E35" s="2">
        <v>20</v>
      </c>
      <c r="F35" s="2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BDFF-DFE1-420A-BAAE-E9C2128D0E81}">
  <sheetPr>
    <tabColor theme="3" tint="0.249977111117893"/>
  </sheetPr>
  <dimension ref="A1:J35"/>
  <sheetViews>
    <sheetView zoomScaleNormal="100" workbookViewId="0">
      <selection activeCell="K4" sqref="K4"/>
    </sheetView>
  </sheetViews>
  <sheetFormatPr defaultRowHeight="14.4" x14ac:dyDescent="0.3"/>
  <cols>
    <col min="1" max="1" width="16.5546875" customWidth="1"/>
    <col min="2" max="2" width="18.44140625" customWidth="1"/>
    <col min="3" max="3" width="18.77734375" customWidth="1"/>
    <col min="4" max="4" width="17.109375" customWidth="1"/>
    <col min="5" max="5" width="15.77734375" customWidth="1"/>
    <col min="6" max="6" width="14.88671875" customWidth="1"/>
    <col min="7" max="7" width="19.33203125" style="25" customWidth="1"/>
    <col min="8" max="8" width="14.88671875" style="34" customWidth="1"/>
    <col min="9" max="9" width="18.44140625" style="34" customWidth="1"/>
    <col min="10" max="10" width="16.88671875" style="34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5</v>
      </c>
      <c r="E1" s="4" t="s">
        <v>3</v>
      </c>
      <c r="F1" s="4" t="s">
        <v>4</v>
      </c>
      <c r="G1" s="25" t="s">
        <v>108</v>
      </c>
      <c r="H1" s="34" t="s">
        <v>120</v>
      </c>
      <c r="I1" s="34" t="s">
        <v>121</v>
      </c>
      <c r="J1" s="34" t="s">
        <v>122</v>
      </c>
    </row>
    <row r="2" spans="1:10" x14ac:dyDescent="0.3">
      <c r="A2" t="s">
        <v>6</v>
      </c>
      <c r="B2" t="s">
        <v>7</v>
      </c>
      <c r="C2" t="s">
        <v>8</v>
      </c>
      <c r="D2" t="s">
        <v>9</v>
      </c>
      <c r="E2">
        <v>1000</v>
      </c>
      <c r="F2">
        <v>30</v>
      </c>
      <c r="G2" s="25" t="str">
        <f>IF(Sales_DB[[#This Row],[Price ($)]]&gt;=500,"High Price","Standard Price")</f>
        <v>High Price</v>
      </c>
      <c r="H2" s="34" t="str">
        <f>LEFT(Sales_DB[[#This Row],[Product ID]],2)</f>
        <v>28</v>
      </c>
      <c r="I2" s="34" t="str">
        <f>RIGHT(Sales_DB[[#This Row],[Product ID]],2)</f>
        <v>US</v>
      </c>
      <c r="J2" s="34" t="str">
        <f>MID(Sales_DB[[#This Row],[Product ID]],4,3)</f>
        <v>JAN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>
        <v>80</v>
      </c>
      <c r="F3">
        <v>15</v>
      </c>
      <c r="G3" s="25" t="str">
        <f>IF(Sales_DB[[#This Row],[Price ($)]]&gt;=500,"High Price","Standard Price")</f>
        <v>Standard Price</v>
      </c>
      <c r="H3" s="34" t="str">
        <f>LEFT(Sales_DB[[#This Row],[Product ID]],2)</f>
        <v>15</v>
      </c>
      <c r="I3" s="34" t="str">
        <f>RIGHT(Sales_DB[[#This Row],[Product ID]],2)</f>
        <v>US</v>
      </c>
      <c r="J3" s="34" t="str">
        <f>MID(Sales_DB[[#This Row],[Product ID]],4,3)</f>
        <v>FEB</v>
      </c>
    </row>
    <row r="4" spans="1:10" x14ac:dyDescent="0.3">
      <c r="A4" t="s">
        <v>14</v>
      </c>
      <c r="B4" t="s">
        <v>15</v>
      </c>
      <c r="C4" t="s">
        <v>16</v>
      </c>
      <c r="D4" t="s">
        <v>17</v>
      </c>
      <c r="E4">
        <v>130</v>
      </c>
      <c r="F4">
        <v>40</v>
      </c>
      <c r="G4" s="25" t="str">
        <f>IF(Sales_DB[[#This Row],[Price ($)]]&gt;=500,"High Price","Standard Price")</f>
        <v>Standard Price</v>
      </c>
      <c r="H4" s="34" t="str">
        <f>LEFT(Sales_DB[[#This Row],[Product ID]],2)</f>
        <v>03</v>
      </c>
      <c r="I4" s="34" t="str">
        <f>RIGHT(Sales_DB[[#This Row],[Product ID]],2)</f>
        <v>US</v>
      </c>
      <c r="J4" s="34" t="str">
        <f>MID(Sales_DB[[#This Row],[Product ID]],4,3)</f>
        <v>MAR</v>
      </c>
    </row>
    <row r="5" spans="1:10" x14ac:dyDescent="0.3">
      <c r="A5" t="s">
        <v>18</v>
      </c>
      <c r="B5" t="s">
        <v>19</v>
      </c>
      <c r="C5" t="s">
        <v>20</v>
      </c>
      <c r="D5" t="s">
        <v>9</v>
      </c>
      <c r="E5">
        <v>900</v>
      </c>
      <c r="F5">
        <v>25</v>
      </c>
      <c r="G5" s="25" t="str">
        <f>IF(Sales_DB[[#This Row],[Price ($)]]&gt;=500,"High Price","Standard Price")</f>
        <v>High Price</v>
      </c>
      <c r="H5" s="34" t="str">
        <f>LEFT(Sales_DB[[#This Row],[Product ID]],2)</f>
        <v>11</v>
      </c>
      <c r="I5" s="34" t="str">
        <f>RIGHT(Sales_DB[[#This Row],[Product ID]],2)</f>
        <v>US</v>
      </c>
      <c r="J5" s="34" t="str">
        <f>MID(Sales_DB[[#This Row],[Product ID]],4,3)</f>
        <v>APR</v>
      </c>
    </row>
    <row r="6" spans="1:10" x14ac:dyDescent="0.3">
      <c r="A6" t="s">
        <v>21</v>
      </c>
      <c r="B6" t="s">
        <v>22</v>
      </c>
      <c r="C6" t="s">
        <v>23</v>
      </c>
      <c r="D6" t="s">
        <v>24</v>
      </c>
      <c r="E6">
        <v>70</v>
      </c>
      <c r="F6">
        <v>20</v>
      </c>
      <c r="G6" s="25" t="str">
        <f>IF(Sales_DB[[#This Row],[Price ($)]]&gt;=500,"High Price","Standard Price")</f>
        <v>Standard Price</v>
      </c>
      <c r="H6" s="34" t="str">
        <f>LEFT(Sales_DB[[#This Row],[Product ID]],2)</f>
        <v>22</v>
      </c>
      <c r="I6" s="34" t="str">
        <f>RIGHT(Sales_DB[[#This Row],[Product ID]],2)</f>
        <v>US</v>
      </c>
      <c r="J6" s="34" t="str">
        <f>MID(Sales_DB[[#This Row],[Product ID]],4,3)</f>
        <v>MAY</v>
      </c>
    </row>
    <row r="7" spans="1:10" x14ac:dyDescent="0.3">
      <c r="A7" t="s">
        <v>25</v>
      </c>
      <c r="B7" t="s">
        <v>26</v>
      </c>
      <c r="C7" t="s">
        <v>27</v>
      </c>
      <c r="D7" t="s">
        <v>9</v>
      </c>
      <c r="E7">
        <v>200</v>
      </c>
      <c r="F7">
        <v>45</v>
      </c>
      <c r="G7" s="25" t="str">
        <f>IF(Sales_DB[[#This Row],[Price ($)]]&gt;=500,"High Price","Standard Price")</f>
        <v>Standard Price</v>
      </c>
      <c r="H7" s="34" t="str">
        <f>LEFT(Sales_DB[[#This Row],[Product ID]],2)</f>
        <v>07</v>
      </c>
      <c r="I7" s="34" t="str">
        <f>RIGHT(Sales_DB[[#This Row],[Product ID]],2)</f>
        <v>UK</v>
      </c>
      <c r="J7" s="34" t="str">
        <f>MID(Sales_DB[[#This Row],[Product ID]],4,3)</f>
        <v>JUN</v>
      </c>
    </row>
    <row r="8" spans="1:10" x14ac:dyDescent="0.3">
      <c r="A8" t="s">
        <v>28</v>
      </c>
      <c r="B8" t="s">
        <v>29</v>
      </c>
      <c r="C8" t="s">
        <v>30</v>
      </c>
      <c r="D8" t="s">
        <v>13</v>
      </c>
      <c r="E8">
        <v>30</v>
      </c>
      <c r="F8">
        <v>5</v>
      </c>
      <c r="G8" s="25" t="str">
        <f>IF(Sales_DB[[#This Row],[Price ($)]]&gt;=500,"High Price","Standard Price")</f>
        <v>Standard Price</v>
      </c>
      <c r="H8" s="34" t="str">
        <f>LEFT(Sales_DB[[#This Row],[Product ID]],2)</f>
        <v>19</v>
      </c>
      <c r="I8" s="34" t="str">
        <f>RIGHT(Sales_DB[[#This Row],[Product ID]],2)</f>
        <v>UK</v>
      </c>
      <c r="J8" s="34" t="str">
        <f>MID(Sales_DB[[#This Row],[Product ID]],4,3)</f>
        <v>JUL</v>
      </c>
    </row>
    <row r="9" spans="1:10" x14ac:dyDescent="0.3">
      <c r="A9" t="s">
        <v>31</v>
      </c>
      <c r="B9" t="s">
        <v>32</v>
      </c>
      <c r="C9" t="s">
        <v>33</v>
      </c>
      <c r="D9" t="s">
        <v>17</v>
      </c>
      <c r="E9">
        <v>90</v>
      </c>
      <c r="F9">
        <v>35</v>
      </c>
      <c r="G9" s="25" t="str">
        <f>IF(Sales_DB[[#This Row],[Price ($)]]&gt;=500,"High Price","Standard Price")</f>
        <v>Standard Price</v>
      </c>
      <c r="H9" s="34" t="str">
        <f>LEFT(Sales_DB[[#This Row],[Product ID]],2)</f>
        <v>23</v>
      </c>
      <c r="I9" s="34" t="str">
        <f>RIGHT(Sales_DB[[#This Row],[Product ID]],2)</f>
        <v>UK</v>
      </c>
      <c r="J9" s="34" t="str">
        <f>MID(Sales_DB[[#This Row],[Product ID]],4,3)</f>
        <v>AUG</v>
      </c>
    </row>
    <row r="10" spans="1:10" x14ac:dyDescent="0.3">
      <c r="A10" t="s">
        <v>34</v>
      </c>
      <c r="B10" t="s">
        <v>35</v>
      </c>
      <c r="C10" t="s">
        <v>36</v>
      </c>
      <c r="D10" t="s">
        <v>9</v>
      </c>
      <c r="E10">
        <v>500</v>
      </c>
      <c r="F10">
        <v>50</v>
      </c>
      <c r="G10" s="25" t="str">
        <f>IF(Sales_DB[[#This Row],[Price ($)]]&gt;=500,"High Price","Standard Price")</f>
        <v>High Price</v>
      </c>
      <c r="H10" s="34" t="str">
        <f>LEFT(Sales_DB[[#This Row],[Product ID]],2)</f>
        <v>05</v>
      </c>
      <c r="I10" s="34" t="str">
        <f>RIGHT(Sales_DB[[#This Row],[Product ID]],2)</f>
        <v>UK</v>
      </c>
      <c r="J10" s="34" t="str">
        <f>MID(Sales_DB[[#This Row],[Product ID]],4,3)</f>
        <v>SEP</v>
      </c>
    </row>
    <row r="11" spans="1:10" x14ac:dyDescent="0.3">
      <c r="A11" t="s">
        <v>37</v>
      </c>
      <c r="B11" t="s">
        <v>38</v>
      </c>
      <c r="C11" t="s">
        <v>39</v>
      </c>
      <c r="D11" t="s">
        <v>24</v>
      </c>
      <c r="E11">
        <v>130</v>
      </c>
      <c r="F11">
        <v>10</v>
      </c>
      <c r="G11" s="25" t="str">
        <f>IF(Sales_DB[[#This Row],[Price ($)]]&gt;=500,"High Price","Standard Price")</f>
        <v>Standard Price</v>
      </c>
      <c r="H11" s="34" t="str">
        <f>LEFT(Sales_DB[[#This Row],[Product ID]],2)</f>
        <v>14</v>
      </c>
      <c r="I11" s="34" t="str">
        <f>RIGHT(Sales_DB[[#This Row],[Product ID]],2)</f>
        <v>UK</v>
      </c>
      <c r="J11" s="34" t="str">
        <f>MID(Sales_DB[[#This Row],[Product ID]],4,3)</f>
        <v>OCT</v>
      </c>
    </row>
    <row r="12" spans="1:10" x14ac:dyDescent="0.3">
      <c r="A12" t="s">
        <v>40</v>
      </c>
      <c r="B12" t="s">
        <v>7</v>
      </c>
      <c r="C12" t="s">
        <v>41</v>
      </c>
      <c r="D12" t="s">
        <v>9</v>
      </c>
      <c r="E12">
        <v>950</v>
      </c>
      <c r="F12">
        <v>25</v>
      </c>
      <c r="G12" s="25" t="str">
        <f>IF(Sales_DB[[#This Row],[Price ($)]]&gt;=500,"High Price","Standard Price")</f>
        <v>High Price</v>
      </c>
      <c r="H12" s="34" t="str">
        <f>LEFT(Sales_DB[[#This Row],[Product ID]],2)</f>
        <v>17</v>
      </c>
      <c r="I12" s="34" t="str">
        <f>RIGHT(Sales_DB[[#This Row],[Product ID]],2)</f>
        <v>IN</v>
      </c>
      <c r="J12" s="34" t="str">
        <f>MID(Sales_DB[[#This Row],[Product ID]],4,3)</f>
        <v>JUN</v>
      </c>
    </row>
    <row r="13" spans="1:10" x14ac:dyDescent="0.3">
      <c r="A13" t="s">
        <v>42</v>
      </c>
      <c r="B13" t="s">
        <v>11</v>
      </c>
      <c r="C13" t="s">
        <v>30</v>
      </c>
      <c r="D13" t="s">
        <v>13</v>
      </c>
      <c r="E13">
        <v>90</v>
      </c>
      <c r="F13">
        <v>40</v>
      </c>
      <c r="G13" s="25" t="str">
        <f>IF(Sales_DB[[#This Row],[Price ($)]]&gt;=500,"High Price","Standard Price")</f>
        <v>Standard Price</v>
      </c>
      <c r="H13" s="34" t="str">
        <f>LEFT(Sales_DB[[#This Row],[Product ID]],2)</f>
        <v>25</v>
      </c>
      <c r="I13" s="34" t="str">
        <f>RIGHT(Sales_DB[[#This Row],[Product ID]],2)</f>
        <v>AU</v>
      </c>
      <c r="J13" s="34" t="str">
        <f>MID(Sales_DB[[#This Row],[Product ID]],4,3)</f>
        <v>NOV</v>
      </c>
    </row>
    <row r="14" spans="1:10" x14ac:dyDescent="0.3">
      <c r="A14" t="s">
        <v>43</v>
      </c>
      <c r="B14" t="s">
        <v>15</v>
      </c>
      <c r="C14" t="s">
        <v>44</v>
      </c>
      <c r="D14" t="s">
        <v>17</v>
      </c>
      <c r="E14">
        <v>120</v>
      </c>
      <c r="F14">
        <v>35</v>
      </c>
      <c r="G14" s="25" t="str">
        <f>IF(Sales_DB[[#This Row],[Price ($)]]&gt;=500,"High Price","Standard Price")</f>
        <v>Standard Price</v>
      </c>
      <c r="H14" s="34" t="str">
        <f>LEFT(Sales_DB[[#This Row],[Product ID]],2)</f>
        <v>08</v>
      </c>
      <c r="I14" s="34" t="str">
        <f>RIGHT(Sales_DB[[#This Row],[Product ID]],2)</f>
        <v>DE</v>
      </c>
      <c r="J14" s="34" t="str">
        <f>MID(Sales_DB[[#This Row],[Product ID]],4,3)</f>
        <v>DEC</v>
      </c>
    </row>
    <row r="15" spans="1:10" x14ac:dyDescent="0.3">
      <c r="A15" t="s">
        <v>45</v>
      </c>
      <c r="B15" t="s">
        <v>46</v>
      </c>
      <c r="C15" t="s">
        <v>47</v>
      </c>
      <c r="D15" t="s">
        <v>9</v>
      </c>
      <c r="E15">
        <v>150</v>
      </c>
      <c r="F15">
        <v>15</v>
      </c>
      <c r="G15" s="25" t="str">
        <f>IF(Sales_DB[[#This Row],[Price ($)]]&gt;=500,"High Price","Standard Price")</f>
        <v>Standard Price</v>
      </c>
      <c r="H15" s="34" t="str">
        <f>LEFT(Sales_DB[[#This Row],[Product ID]],2)</f>
        <v>18</v>
      </c>
      <c r="I15" s="34" t="str">
        <f>RIGHT(Sales_DB[[#This Row],[Product ID]],2)</f>
        <v>CA</v>
      </c>
      <c r="J15" s="34" t="str">
        <f>MID(Sales_DB[[#This Row],[Product ID]],4,3)</f>
        <v>FEB</v>
      </c>
    </row>
    <row r="16" spans="1:10" x14ac:dyDescent="0.3">
      <c r="A16" t="s">
        <v>48</v>
      </c>
      <c r="B16" t="s">
        <v>26</v>
      </c>
      <c r="C16" t="s">
        <v>49</v>
      </c>
      <c r="D16" t="s">
        <v>9</v>
      </c>
      <c r="E16">
        <v>250</v>
      </c>
      <c r="F16">
        <v>20</v>
      </c>
      <c r="G16" s="25" t="str">
        <f>IF(Sales_DB[[#This Row],[Price ($)]]&gt;=500,"High Price","Standard Price")</f>
        <v>Standard Price</v>
      </c>
      <c r="H16" s="34" t="str">
        <f>LEFT(Sales_DB[[#This Row],[Product ID]],2)</f>
        <v>16</v>
      </c>
      <c r="I16" s="34" t="str">
        <f>RIGHT(Sales_DB[[#This Row],[Product ID]],2)</f>
        <v>ES</v>
      </c>
      <c r="J16" s="34" t="str">
        <f>MID(Sales_DB[[#This Row],[Product ID]],4,3)</f>
        <v>APR</v>
      </c>
    </row>
    <row r="17" spans="1:10" x14ac:dyDescent="0.3">
      <c r="A17" t="s">
        <v>50</v>
      </c>
      <c r="B17" t="s">
        <v>51</v>
      </c>
      <c r="C17" t="s">
        <v>52</v>
      </c>
      <c r="D17" t="s">
        <v>53</v>
      </c>
      <c r="E17">
        <v>50</v>
      </c>
      <c r="F17">
        <v>35</v>
      </c>
      <c r="G17" s="25" t="str">
        <f>IF(Sales_DB[[#This Row],[Price ($)]]&gt;=500,"High Price","Standard Price")</f>
        <v>Standard Price</v>
      </c>
      <c r="H17" s="34" t="str">
        <f>LEFT(Sales_DB[[#This Row],[Product ID]],2)</f>
        <v>21</v>
      </c>
      <c r="I17" s="34" t="str">
        <f>RIGHT(Sales_DB[[#This Row],[Product ID]],2)</f>
        <v>CA</v>
      </c>
      <c r="J17" s="34" t="str">
        <f>MID(Sales_DB[[#This Row],[Product ID]],4,3)</f>
        <v>AUG</v>
      </c>
    </row>
    <row r="18" spans="1:10" x14ac:dyDescent="0.3">
      <c r="A18" t="s">
        <v>54</v>
      </c>
      <c r="B18" t="s">
        <v>46</v>
      </c>
      <c r="C18" t="s">
        <v>55</v>
      </c>
      <c r="D18" t="s">
        <v>9</v>
      </c>
      <c r="E18">
        <v>160</v>
      </c>
      <c r="F18">
        <v>15</v>
      </c>
      <c r="G18" s="25" t="str">
        <f>IF(Sales_DB[[#This Row],[Price ($)]]&gt;=500,"High Price","Standard Price")</f>
        <v>Standard Price</v>
      </c>
      <c r="H18" s="34" t="str">
        <f>LEFT(Sales_DB[[#This Row],[Product ID]],2)</f>
        <v>20</v>
      </c>
      <c r="I18" s="34" t="str">
        <f>RIGHT(Sales_DB[[#This Row],[Product ID]],2)</f>
        <v>CN</v>
      </c>
      <c r="J18" s="34" t="str">
        <f>MID(Sales_DB[[#This Row],[Product ID]],4,3)</f>
        <v>AUG</v>
      </c>
    </row>
    <row r="19" spans="1:10" x14ac:dyDescent="0.3">
      <c r="A19" t="s">
        <v>56</v>
      </c>
      <c r="B19" t="s">
        <v>7</v>
      </c>
      <c r="C19" t="s">
        <v>57</v>
      </c>
      <c r="D19" t="s">
        <v>9</v>
      </c>
      <c r="E19">
        <v>980</v>
      </c>
      <c r="F19">
        <v>10</v>
      </c>
      <c r="G19" s="25" t="str">
        <f>IF(Sales_DB[[#This Row],[Price ($)]]&gt;=500,"High Price","Standard Price")</f>
        <v>High Price</v>
      </c>
      <c r="H19" s="34" t="str">
        <f>LEFT(Sales_DB[[#This Row],[Product ID]],2)</f>
        <v>27</v>
      </c>
      <c r="I19" s="34" t="str">
        <f>RIGHT(Sales_DB[[#This Row],[Product ID]],2)</f>
        <v>IT</v>
      </c>
      <c r="J19" s="34" t="str">
        <f>MID(Sales_DB[[#This Row],[Product ID]],4,3)</f>
        <v>JAN</v>
      </c>
    </row>
    <row r="20" spans="1:10" x14ac:dyDescent="0.3">
      <c r="A20" t="s">
        <v>58</v>
      </c>
      <c r="B20" t="s">
        <v>59</v>
      </c>
      <c r="C20" t="s">
        <v>60</v>
      </c>
      <c r="D20" t="s">
        <v>13</v>
      </c>
      <c r="E20">
        <v>150</v>
      </c>
      <c r="F20">
        <v>15</v>
      </c>
      <c r="G20" s="25" t="str">
        <f>IF(Sales_DB[[#This Row],[Price ($)]]&gt;=500,"High Price","Standard Price")</f>
        <v>Standard Price</v>
      </c>
      <c r="H20" s="34" t="str">
        <f>LEFT(Sales_DB[[#This Row],[Product ID]],2)</f>
        <v>01</v>
      </c>
      <c r="I20" s="34" t="str">
        <f>RIGHT(Sales_DB[[#This Row],[Product ID]],2)</f>
        <v>UK</v>
      </c>
      <c r="J20" s="34" t="str">
        <f>MID(Sales_DB[[#This Row],[Product ID]],4,3)</f>
        <v>MAR</v>
      </c>
    </row>
    <row r="21" spans="1:10" x14ac:dyDescent="0.3">
      <c r="A21" t="s">
        <v>61</v>
      </c>
      <c r="B21" t="s">
        <v>62</v>
      </c>
      <c r="C21" t="s">
        <v>63</v>
      </c>
      <c r="D21" t="s">
        <v>24</v>
      </c>
      <c r="E21">
        <v>200</v>
      </c>
      <c r="F21">
        <v>10</v>
      </c>
      <c r="G21" s="25" t="str">
        <f>IF(Sales_DB[[#This Row],[Price ($)]]&gt;=500,"High Price","Standard Price")</f>
        <v>Standard Price</v>
      </c>
      <c r="H21" s="34" t="str">
        <f>LEFT(Sales_DB[[#This Row],[Product ID]],2)</f>
        <v>14</v>
      </c>
      <c r="I21" s="34" t="str">
        <f>RIGHT(Sales_DB[[#This Row],[Product ID]],2)</f>
        <v>US</v>
      </c>
      <c r="J21" s="34" t="str">
        <f>MID(Sales_DB[[#This Row],[Product ID]],4,3)</f>
        <v>AUG</v>
      </c>
    </row>
    <row r="22" spans="1:10" x14ac:dyDescent="0.3">
      <c r="A22" t="s">
        <v>64</v>
      </c>
      <c r="B22" t="s">
        <v>65</v>
      </c>
      <c r="C22" t="s">
        <v>66</v>
      </c>
      <c r="D22" t="s">
        <v>9</v>
      </c>
      <c r="E22">
        <v>700</v>
      </c>
      <c r="F22">
        <v>50</v>
      </c>
      <c r="G22" s="25" t="str">
        <f>IF(Sales_DB[[#This Row],[Price ($)]]&gt;=500,"High Price","Standard Price")</f>
        <v>High Price</v>
      </c>
      <c r="H22" s="34" t="str">
        <f>LEFT(Sales_DB[[#This Row],[Product ID]],2)</f>
        <v>14</v>
      </c>
      <c r="I22" s="34" t="str">
        <f>RIGHT(Sales_DB[[#This Row],[Product ID]],2)</f>
        <v>RU</v>
      </c>
      <c r="J22" s="34" t="str">
        <f>MID(Sales_DB[[#This Row],[Product ID]],4,3)</f>
        <v>MAY</v>
      </c>
    </row>
    <row r="23" spans="1:10" x14ac:dyDescent="0.3">
      <c r="A23" t="s">
        <v>67</v>
      </c>
      <c r="B23" t="s">
        <v>68</v>
      </c>
      <c r="C23" t="s">
        <v>69</v>
      </c>
      <c r="D23" t="s">
        <v>17</v>
      </c>
      <c r="E23">
        <v>80</v>
      </c>
      <c r="F23">
        <v>20</v>
      </c>
      <c r="G23" s="25" t="str">
        <f>IF(Sales_DB[[#This Row],[Price ($)]]&gt;=500,"High Price","Standard Price")</f>
        <v>Standard Price</v>
      </c>
      <c r="H23" s="34" t="str">
        <f>LEFT(Sales_DB[[#This Row],[Product ID]],2)</f>
        <v>09</v>
      </c>
      <c r="I23" s="34" t="str">
        <f>RIGHT(Sales_DB[[#This Row],[Product ID]],2)</f>
        <v>CA</v>
      </c>
      <c r="J23" s="34" t="str">
        <f>MID(Sales_DB[[#This Row],[Product ID]],4,3)</f>
        <v>JAN</v>
      </c>
    </row>
    <row r="24" spans="1:10" x14ac:dyDescent="0.3">
      <c r="A24" t="s">
        <v>70</v>
      </c>
      <c r="B24" t="s">
        <v>71</v>
      </c>
      <c r="C24" t="s">
        <v>72</v>
      </c>
      <c r="D24" t="s">
        <v>9</v>
      </c>
      <c r="E24">
        <v>150</v>
      </c>
      <c r="F24">
        <v>30</v>
      </c>
      <c r="G24" s="25" t="str">
        <f>IF(Sales_DB[[#This Row],[Price ($)]]&gt;=500,"High Price","Standard Price")</f>
        <v>Standard Price</v>
      </c>
      <c r="H24" s="34" t="str">
        <f>LEFT(Sales_DB[[#This Row],[Product ID]],2)</f>
        <v>19</v>
      </c>
      <c r="I24" s="34" t="str">
        <f>RIGHT(Sales_DB[[#This Row],[Product ID]],2)</f>
        <v>BR</v>
      </c>
      <c r="J24" s="34" t="str">
        <f>MID(Sales_DB[[#This Row],[Product ID]],4,3)</f>
        <v>JUL</v>
      </c>
    </row>
    <row r="25" spans="1:10" x14ac:dyDescent="0.3">
      <c r="A25" t="s">
        <v>50</v>
      </c>
      <c r="B25" t="s">
        <v>51</v>
      </c>
      <c r="C25" t="s">
        <v>52</v>
      </c>
      <c r="D25" t="s">
        <v>53</v>
      </c>
      <c r="E25">
        <v>50</v>
      </c>
      <c r="F25">
        <v>35</v>
      </c>
      <c r="G25" s="25" t="str">
        <f>IF(Sales_DB[[#This Row],[Price ($)]]&gt;=500,"High Price","Standard Price")</f>
        <v>Standard Price</v>
      </c>
      <c r="H25" s="34" t="str">
        <f>LEFT(Sales_DB[[#This Row],[Product ID]],2)</f>
        <v>21</v>
      </c>
      <c r="I25" s="34" t="str">
        <f>RIGHT(Sales_DB[[#This Row],[Product ID]],2)</f>
        <v>CA</v>
      </c>
      <c r="J25" s="34" t="str">
        <f>MID(Sales_DB[[#This Row],[Product ID]],4,3)</f>
        <v>AUG</v>
      </c>
    </row>
    <row r="26" spans="1:10" x14ac:dyDescent="0.3">
      <c r="A26" t="s">
        <v>73</v>
      </c>
      <c r="B26" t="s">
        <v>19</v>
      </c>
      <c r="C26" t="s">
        <v>74</v>
      </c>
      <c r="D26" t="s">
        <v>9</v>
      </c>
      <c r="E26">
        <v>800</v>
      </c>
      <c r="F26">
        <v>45</v>
      </c>
      <c r="G26" s="25" t="str">
        <f>IF(Sales_DB[[#This Row],[Price ($)]]&gt;=500,"High Price","Standard Price")</f>
        <v>High Price</v>
      </c>
      <c r="H26" s="34" t="str">
        <f>LEFT(Sales_DB[[#This Row],[Product ID]],2)</f>
        <v>29</v>
      </c>
      <c r="I26" s="34" t="str">
        <f>RIGHT(Sales_DB[[#This Row],[Product ID]],2)</f>
        <v>CA</v>
      </c>
      <c r="J26" s="34" t="str">
        <f>MID(Sales_DB[[#This Row],[Product ID]],4,3)</f>
        <v>SEP</v>
      </c>
    </row>
    <row r="27" spans="1:10" x14ac:dyDescent="0.3">
      <c r="A27" t="s">
        <v>75</v>
      </c>
      <c r="B27" t="s">
        <v>59</v>
      </c>
      <c r="C27" t="s">
        <v>76</v>
      </c>
      <c r="D27" t="s">
        <v>13</v>
      </c>
      <c r="E27">
        <v>130</v>
      </c>
      <c r="F27">
        <v>25</v>
      </c>
      <c r="G27" s="25" t="str">
        <f>IF(Sales_DB[[#This Row],[Price ($)]]&gt;=500,"High Price","Standard Price")</f>
        <v>Standard Price</v>
      </c>
      <c r="H27" s="34" t="str">
        <f>LEFT(Sales_DB[[#This Row],[Product ID]],2)</f>
        <v>03</v>
      </c>
      <c r="I27" s="34" t="str">
        <f>RIGHT(Sales_DB[[#This Row],[Product ID]],2)</f>
        <v>CA</v>
      </c>
      <c r="J27" s="34" t="str">
        <f>MID(Sales_DB[[#This Row],[Product ID]],4,3)</f>
        <v>JUN</v>
      </c>
    </row>
    <row r="28" spans="1:10" x14ac:dyDescent="0.3">
      <c r="A28" t="s">
        <v>77</v>
      </c>
      <c r="B28" t="s">
        <v>32</v>
      </c>
      <c r="C28" t="s">
        <v>78</v>
      </c>
      <c r="D28" t="s">
        <v>17</v>
      </c>
      <c r="E28">
        <v>400</v>
      </c>
      <c r="F28">
        <v>40</v>
      </c>
      <c r="G28" s="25" t="str">
        <f>IF(Sales_DB[[#This Row],[Price ($)]]&gt;=500,"High Price","Standard Price")</f>
        <v>Standard Price</v>
      </c>
      <c r="H28" s="34" t="str">
        <f>LEFT(Sales_DB[[#This Row],[Product ID]],2)</f>
        <v>11</v>
      </c>
      <c r="I28" s="34" t="str">
        <f>RIGHT(Sales_DB[[#This Row],[Product ID]],2)</f>
        <v>CA</v>
      </c>
      <c r="J28" s="34" t="str">
        <f>MID(Sales_DB[[#This Row],[Product ID]],4,3)</f>
        <v>JUL</v>
      </c>
    </row>
    <row r="29" spans="1:10" x14ac:dyDescent="0.3">
      <c r="A29" t="s">
        <v>48</v>
      </c>
      <c r="B29" t="s">
        <v>26</v>
      </c>
      <c r="C29" t="s">
        <v>49</v>
      </c>
      <c r="D29" t="s">
        <v>9</v>
      </c>
      <c r="E29">
        <v>230</v>
      </c>
      <c r="F29">
        <v>20</v>
      </c>
      <c r="G29" s="25" t="str">
        <f>IF(Sales_DB[[#This Row],[Price ($)]]&gt;=500,"High Price","Standard Price")</f>
        <v>Standard Price</v>
      </c>
      <c r="H29" s="34" t="str">
        <f>LEFT(Sales_DB[[#This Row],[Product ID]],2)</f>
        <v>16</v>
      </c>
      <c r="I29" s="34" t="str">
        <f>RIGHT(Sales_DB[[#This Row],[Product ID]],2)</f>
        <v>ES</v>
      </c>
      <c r="J29" s="34" t="str">
        <f>MID(Sales_DB[[#This Row],[Product ID]],4,3)</f>
        <v>APR</v>
      </c>
    </row>
    <row r="30" spans="1:10" x14ac:dyDescent="0.3">
      <c r="A30" t="s">
        <v>79</v>
      </c>
      <c r="B30" t="s">
        <v>80</v>
      </c>
      <c r="C30" t="s">
        <v>81</v>
      </c>
      <c r="D30" t="s">
        <v>13</v>
      </c>
      <c r="E30">
        <v>60</v>
      </c>
      <c r="F30">
        <v>30</v>
      </c>
      <c r="G30" s="25" t="str">
        <f>IF(Sales_DB[[#This Row],[Price ($)]]&gt;=500,"High Price","Standard Price")</f>
        <v>Standard Price</v>
      </c>
      <c r="H30" s="34" t="str">
        <f>LEFT(Sales_DB[[#This Row],[Product ID]],2)</f>
        <v>07</v>
      </c>
      <c r="I30" s="34" t="str">
        <f>RIGHT(Sales_DB[[#This Row],[Product ID]],2)</f>
        <v>CA</v>
      </c>
      <c r="J30" s="34" t="str">
        <f>MID(Sales_DB[[#This Row],[Product ID]],4,3)</f>
        <v>MAR</v>
      </c>
    </row>
    <row r="31" spans="1:10" x14ac:dyDescent="0.3">
      <c r="A31" t="s">
        <v>82</v>
      </c>
      <c r="B31" t="s">
        <v>83</v>
      </c>
      <c r="C31" t="s">
        <v>84</v>
      </c>
      <c r="D31" t="s">
        <v>17</v>
      </c>
      <c r="E31">
        <v>40</v>
      </c>
      <c r="F31">
        <v>10</v>
      </c>
      <c r="G31" s="25" t="str">
        <f>IF(Sales_DB[[#This Row],[Price ($)]]&gt;=500,"High Price","Standard Price")</f>
        <v>Standard Price</v>
      </c>
      <c r="H31" s="34" t="str">
        <f>LEFT(Sales_DB[[#This Row],[Product ID]],2)</f>
        <v>13</v>
      </c>
      <c r="I31" s="34" t="str">
        <f>RIGHT(Sales_DB[[#This Row],[Product ID]],2)</f>
        <v>CA</v>
      </c>
      <c r="J31" s="34" t="str">
        <f>MID(Sales_DB[[#This Row],[Product ID]],4,3)</f>
        <v>APR</v>
      </c>
    </row>
    <row r="32" spans="1:10" x14ac:dyDescent="0.3">
      <c r="A32" t="s">
        <v>85</v>
      </c>
      <c r="B32" t="s">
        <v>71</v>
      </c>
      <c r="C32" t="s">
        <v>86</v>
      </c>
      <c r="D32" t="s">
        <v>9</v>
      </c>
      <c r="E32">
        <v>130</v>
      </c>
      <c r="F32">
        <v>5</v>
      </c>
      <c r="G32" s="25" t="str">
        <f>IF(Sales_DB[[#This Row],[Price ($)]]&gt;=500,"High Price","Standard Price")</f>
        <v>Standard Price</v>
      </c>
      <c r="H32" s="34" t="str">
        <f>LEFT(Sales_DB[[#This Row],[Product ID]],2)</f>
        <v>24</v>
      </c>
      <c r="I32" s="34" t="str">
        <f>RIGHT(Sales_DB[[#This Row],[Product ID]],2)</f>
        <v>CA</v>
      </c>
      <c r="J32" s="34" t="str">
        <f>MID(Sales_DB[[#This Row],[Product ID]],4,3)</f>
        <v>MAY</v>
      </c>
    </row>
    <row r="33" spans="1:10" x14ac:dyDescent="0.3">
      <c r="A33" t="s">
        <v>87</v>
      </c>
      <c r="B33" t="s">
        <v>88</v>
      </c>
      <c r="C33" t="s">
        <v>89</v>
      </c>
      <c r="D33" t="s">
        <v>13</v>
      </c>
      <c r="E33">
        <v>50</v>
      </c>
      <c r="F33">
        <v>50</v>
      </c>
      <c r="G33" s="25" t="str">
        <f>IF(Sales_DB[[#This Row],[Price ($)]]&gt;=500,"High Price","Standard Price")</f>
        <v>Standard Price</v>
      </c>
      <c r="H33" s="34" t="str">
        <f>LEFT(Sales_DB[[#This Row],[Product ID]],2)</f>
        <v>02</v>
      </c>
      <c r="I33" s="34" t="str">
        <f>RIGHT(Sales_DB[[#This Row],[Product ID]],2)</f>
        <v>CA</v>
      </c>
      <c r="J33" s="34" t="str">
        <f>MID(Sales_DB[[#This Row],[Product ID]],4,3)</f>
        <v>DEC</v>
      </c>
    </row>
    <row r="34" spans="1:10" x14ac:dyDescent="0.3">
      <c r="A34" t="s">
        <v>40</v>
      </c>
      <c r="B34" t="s">
        <v>7</v>
      </c>
      <c r="C34" t="s">
        <v>41</v>
      </c>
      <c r="D34" t="s">
        <v>9</v>
      </c>
      <c r="E34">
        <v>950</v>
      </c>
      <c r="F34">
        <v>25</v>
      </c>
      <c r="G34" s="25" t="str">
        <f>IF(Sales_DB[[#This Row],[Price ($)]]&gt;=500,"High Price","Standard Price")</f>
        <v>High Price</v>
      </c>
      <c r="H34" s="34" t="str">
        <f>LEFT(Sales_DB[[#This Row],[Product ID]],2)</f>
        <v>17</v>
      </c>
      <c r="I34" s="34" t="str">
        <f>RIGHT(Sales_DB[[#This Row],[Product ID]],2)</f>
        <v>IN</v>
      </c>
      <c r="J34" s="34" t="str">
        <f>MID(Sales_DB[[#This Row],[Product ID]],4,3)</f>
        <v>JUN</v>
      </c>
    </row>
    <row r="35" spans="1:10" x14ac:dyDescent="0.3">
      <c r="A35" t="s">
        <v>90</v>
      </c>
      <c r="B35" t="s">
        <v>91</v>
      </c>
      <c r="C35" t="s">
        <v>92</v>
      </c>
      <c r="D35" t="s">
        <v>53</v>
      </c>
      <c r="E35">
        <v>100</v>
      </c>
      <c r="F35">
        <v>20</v>
      </c>
      <c r="G35" s="25" t="str">
        <f>IF(Sales_DB[[#This Row],[Price ($)]]&gt;=500,"High Price","Standard Price")</f>
        <v>Standard Price</v>
      </c>
      <c r="H35" s="34" t="str">
        <f>LEFT(Sales_DB[[#This Row],[Product ID]],2)</f>
        <v>09</v>
      </c>
      <c r="I35" s="34" t="str">
        <f>RIGHT(Sales_DB[[#This Row],[Product ID]],2)</f>
        <v>FR</v>
      </c>
      <c r="J35" s="34" t="str">
        <f>MID(Sales_DB[[#This Row],[Product ID]],4,3)</f>
        <v>JUL</v>
      </c>
    </row>
  </sheetData>
  <conditionalFormatting sqref="G1:G1048576">
    <cfRule type="containsText" dxfId="5" priority="1" operator="containsText" text="High price">
      <formula>NOT(ISERROR(SEARCH("High price",G1)))</formula>
    </cfRule>
    <cfRule type="containsText" dxfId="4" priority="2" operator="containsText" text="Standard price">
      <formula>NOT(ISERROR(SEARCH("Standard price",G1)))</formula>
    </cfRule>
    <cfRule type="colorScale" priority="3">
      <colorScale>
        <cfvo type="min"/>
        <cfvo type="max"/>
        <color rgb="FFFF7128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" priority="5" operator="containsText" text="Standard Price">
      <formula>NOT(ISERROR(SEARCH("Standard Price",G1)))</formula>
    </cfRule>
    <cfRule type="containsText" dxfId="2" priority="6" operator="containsText" text="Standard Price">
      <formula>NOT(ISERROR(SEARCH("Standard Price",G1)))</formula>
    </cfRule>
    <cfRule type="containsText" dxfId="1" priority="7" operator="containsText" text="High price">
      <formula>NOT(ISERROR(SEARCH("High price",G1)))</formula>
    </cfRule>
    <cfRule type="containsText" dxfId="0" priority="8" operator="containsText" text="High Price">
      <formula>NOT(ISERROR(SEARCH("High Price",G1)))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97E8-AB8D-4335-8539-1AFC83A0849A}">
  <sheetPr>
    <tabColor theme="3" tint="0.249977111117893"/>
  </sheetPr>
  <dimension ref="A1:C16"/>
  <sheetViews>
    <sheetView topLeftCell="B1" zoomScale="130" zoomScaleNormal="130" workbookViewId="0">
      <selection activeCell="B21" sqref="B21"/>
    </sheetView>
  </sheetViews>
  <sheetFormatPr defaultRowHeight="14.4" x14ac:dyDescent="0.3"/>
  <cols>
    <col min="1" max="1" width="7.5546875" customWidth="1"/>
    <col min="2" max="2" width="49.21875" customWidth="1"/>
    <col min="3" max="3" width="27.44140625" customWidth="1"/>
    <col min="4" max="4" width="10.33203125" customWidth="1"/>
  </cols>
  <sheetData>
    <row r="1" spans="1:3" x14ac:dyDescent="0.3">
      <c r="A1" s="38" t="s">
        <v>94</v>
      </c>
      <c r="B1" s="39"/>
      <c r="C1" s="40"/>
    </row>
    <row r="2" spans="1:3" x14ac:dyDescent="0.3">
      <c r="A2" s="41"/>
      <c r="B2" s="42"/>
      <c r="C2" s="43"/>
    </row>
    <row r="3" spans="1:3" ht="15" thickBot="1" x14ac:dyDescent="0.35">
      <c r="A3" s="44"/>
      <c r="B3" s="45"/>
      <c r="C3" s="46"/>
    </row>
    <row r="4" spans="1:3" x14ac:dyDescent="0.3">
      <c r="A4" s="47" t="s">
        <v>93</v>
      </c>
      <c r="B4" s="48"/>
      <c r="C4" s="49"/>
    </row>
    <row r="5" spans="1:3" ht="15" thickBot="1" x14ac:dyDescent="0.35">
      <c r="A5" s="50"/>
      <c r="B5" s="51"/>
      <c r="C5" s="52"/>
    </row>
    <row r="6" spans="1:3" ht="15" thickBot="1" x14ac:dyDescent="0.35">
      <c r="A6" s="6" t="s">
        <v>98</v>
      </c>
      <c r="B6" s="6" t="s">
        <v>99</v>
      </c>
      <c r="C6" s="6" t="s">
        <v>100</v>
      </c>
    </row>
    <row r="7" spans="1:3" x14ac:dyDescent="0.3">
      <c r="A7" s="7">
        <v>1</v>
      </c>
      <c r="B7" s="8" t="s">
        <v>95</v>
      </c>
      <c r="C7" s="13">
        <f>SUM(Sales_DB[Price ($)])</f>
        <v>10100</v>
      </c>
    </row>
    <row r="8" spans="1:3" x14ac:dyDescent="0.3">
      <c r="A8" s="9">
        <v>2</v>
      </c>
      <c r="B8" s="8" t="s">
        <v>96</v>
      </c>
      <c r="C8" s="12">
        <f>COUNTA(Sales_DB[Product Name])</f>
        <v>34</v>
      </c>
    </row>
    <row r="9" spans="1:3" ht="15" thickBot="1" x14ac:dyDescent="0.35">
      <c r="A9" s="10">
        <v>3</v>
      </c>
      <c r="B9" s="11" t="s">
        <v>97</v>
      </c>
      <c r="C9" s="14">
        <f>AVERAGE(Sales_DB[Price ($)])</f>
        <v>297.05882352941177</v>
      </c>
    </row>
    <row r="11" spans="1:3" ht="15" thickBot="1" x14ac:dyDescent="0.35"/>
    <row r="12" spans="1:3" x14ac:dyDescent="0.3">
      <c r="A12" s="53" t="s">
        <v>101</v>
      </c>
      <c r="B12" s="54"/>
      <c r="C12" s="55"/>
    </row>
    <row r="13" spans="1:3" ht="15" thickBot="1" x14ac:dyDescent="0.35">
      <c r="A13" s="56"/>
      <c r="B13" s="57"/>
      <c r="C13" s="58"/>
    </row>
    <row r="14" spans="1:3" ht="15" thickBot="1" x14ac:dyDescent="0.35">
      <c r="A14" s="15" t="s">
        <v>98</v>
      </c>
      <c r="B14" s="16" t="s">
        <v>99</v>
      </c>
      <c r="C14" s="17" t="s">
        <v>100</v>
      </c>
    </row>
    <row r="15" spans="1:3" x14ac:dyDescent="0.3">
      <c r="A15" s="21">
        <v>1</v>
      </c>
      <c r="B15" s="21" t="s">
        <v>102</v>
      </c>
      <c r="C15" s="22">
        <f>MIN(Sales_DB[Price ($)])</f>
        <v>30</v>
      </c>
    </row>
    <row r="16" spans="1:3" ht="15" thickBot="1" x14ac:dyDescent="0.35">
      <c r="A16" s="23">
        <v>2</v>
      </c>
      <c r="B16" s="23" t="s">
        <v>103</v>
      </c>
      <c r="C16" s="24">
        <f>MAX(Sales_DB[Price ($)])</f>
        <v>1000</v>
      </c>
    </row>
  </sheetData>
  <mergeCells count="3">
    <mergeCell ref="A1:C3"/>
    <mergeCell ref="A4:C5"/>
    <mergeCell ref="A12:C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D9B8-1E98-4A3E-A3C2-9C2152591A6A}">
  <sheetPr>
    <tabColor theme="3" tint="0.249977111117893"/>
  </sheetPr>
  <dimension ref="A1:C8"/>
  <sheetViews>
    <sheetView zoomScale="130" zoomScaleNormal="130" workbookViewId="0">
      <selection activeCell="H8" sqref="H8"/>
    </sheetView>
  </sheetViews>
  <sheetFormatPr defaultRowHeight="14.4" x14ac:dyDescent="0.3"/>
  <cols>
    <col min="1" max="1" width="10.109375" customWidth="1"/>
    <col min="2" max="2" width="58.33203125" customWidth="1"/>
    <col min="3" max="3" width="30.6640625" customWidth="1"/>
  </cols>
  <sheetData>
    <row r="1" spans="1:3" x14ac:dyDescent="0.3">
      <c r="A1" s="59" t="s">
        <v>104</v>
      </c>
      <c r="B1" s="60"/>
      <c r="C1" s="61"/>
    </row>
    <row r="2" spans="1:3" x14ac:dyDescent="0.3">
      <c r="A2" s="62"/>
      <c r="B2" s="63"/>
      <c r="C2" s="64"/>
    </row>
    <row r="3" spans="1:3" ht="15" thickBot="1" x14ac:dyDescent="0.35">
      <c r="A3" s="65"/>
      <c r="B3" s="66"/>
      <c r="C3" s="67"/>
    </row>
    <row r="4" spans="1:3" x14ac:dyDescent="0.3">
      <c r="A4" s="68" t="s">
        <v>105</v>
      </c>
      <c r="B4" s="69"/>
      <c r="C4" s="70"/>
    </row>
    <row r="5" spans="1:3" ht="15" thickBot="1" x14ac:dyDescent="0.35">
      <c r="A5" s="71"/>
      <c r="B5" s="72"/>
      <c r="C5" s="73"/>
    </row>
    <row r="6" spans="1:3" ht="15" thickBot="1" x14ac:dyDescent="0.35">
      <c r="A6" s="18" t="s">
        <v>98</v>
      </c>
      <c r="B6" s="18" t="s">
        <v>99</v>
      </c>
      <c r="C6" s="18" t="s">
        <v>100</v>
      </c>
    </row>
    <row r="7" spans="1:3" x14ac:dyDescent="0.3">
      <c r="A7" s="76">
        <v>1</v>
      </c>
      <c r="B7" s="19" t="s">
        <v>106</v>
      </c>
      <c r="C7" s="74" t="s">
        <v>109</v>
      </c>
    </row>
    <row r="8" spans="1:3" ht="43.8" thickBot="1" x14ac:dyDescent="0.35">
      <c r="A8" s="77"/>
      <c r="B8" s="20" t="s">
        <v>107</v>
      </c>
      <c r="C8" s="75"/>
    </row>
  </sheetData>
  <mergeCells count="4">
    <mergeCell ref="A1:C3"/>
    <mergeCell ref="A4:C5"/>
    <mergeCell ref="C7:C8"/>
    <mergeCell ref="A7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11D5-E6BA-40AA-B1B8-31A0B9CC22C0}">
  <sheetPr>
    <tabColor theme="3" tint="0.249977111117893"/>
  </sheetPr>
  <dimension ref="A1:C8"/>
  <sheetViews>
    <sheetView zoomScale="130" zoomScaleNormal="130" workbookViewId="0">
      <selection activeCell="C8" sqref="C8"/>
    </sheetView>
  </sheetViews>
  <sheetFormatPr defaultRowHeight="14.4" x14ac:dyDescent="0.3"/>
  <cols>
    <col min="2" max="2" width="53.33203125" customWidth="1"/>
    <col min="3" max="3" width="38.109375" customWidth="1"/>
  </cols>
  <sheetData>
    <row r="1" spans="1:3" x14ac:dyDescent="0.3">
      <c r="A1" s="59" t="s">
        <v>110</v>
      </c>
      <c r="B1" s="60"/>
      <c r="C1" s="61"/>
    </row>
    <row r="2" spans="1:3" x14ac:dyDescent="0.3">
      <c r="A2" s="62"/>
      <c r="B2" s="63"/>
      <c r="C2" s="64"/>
    </row>
    <row r="3" spans="1:3" ht="15" thickBot="1" x14ac:dyDescent="0.35">
      <c r="A3" s="65"/>
      <c r="B3" s="66"/>
      <c r="C3" s="67"/>
    </row>
    <row r="4" spans="1:3" x14ac:dyDescent="0.3">
      <c r="A4" s="68" t="s">
        <v>111</v>
      </c>
      <c r="B4" s="69"/>
      <c r="C4" s="70"/>
    </row>
    <row r="5" spans="1:3" ht="15" thickBot="1" x14ac:dyDescent="0.35">
      <c r="A5" s="71"/>
      <c r="B5" s="72"/>
      <c r="C5" s="73"/>
    </row>
    <row r="6" spans="1:3" ht="15" thickBot="1" x14ac:dyDescent="0.35">
      <c r="A6" s="5" t="s">
        <v>98</v>
      </c>
      <c r="B6" s="5" t="s">
        <v>99</v>
      </c>
      <c r="C6" s="5" t="s">
        <v>100</v>
      </c>
    </row>
    <row r="7" spans="1:3" ht="28.8" x14ac:dyDescent="0.3">
      <c r="A7" s="21">
        <v>1</v>
      </c>
      <c r="B7" s="27" t="s">
        <v>112</v>
      </c>
      <c r="C7" s="29">
        <f>SUMIF(Sales_DB[Category],"Electronics",Sales_DB[Price ($)])</f>
        <v>8050</v>
      </c>
    </row>
    <row r="8" spans="1:3" ht="29.4" thickBot="1" x14ac:dyDescent="0.35">
      <c r="A8" s="23">
        <v>2</v>
      </c>
      <c r="B8" s="28" t="s">
        <v>113</v>
      </c>
      <c r="C8" s="30">
        <f>COUNTIF(Sales_DB[Price ($)],"&lt;100")</f>
        <v>11</v>
      </c>
    </row>
  </sheetData>
  <mergeCells count="2">
    <mergeCell ref="A1:C3"/>
    <mergeCell ref="A4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978E-1CBE-40FE-974B-06BFE7EA94A2}">
  <sheetPr>
    <tabColor theme="3" tint="0.249977111117893"/>
  </sheetPr>
  <dimension ref="A1:C10"/>
  <sheetViews>
    <sheetView zoomScale="130" zoomScaleNormal="130" workbookViewId="0">
      <selection activeCell="D13" sqref="D13"/>
    </sheetView>
  </sheetViews>
  <sheetFormatPr defaultRowHeight="14.4" x14ac:dyDescent="0.3"/>
  <cols>
    <col min="1" max="1" width="7.6640625" customWidth="1"/>
    <col min="2" max="2" width="62.88671875" customWidth="1"/>
    <col min="3" max="3" width="34.109375" customWidth="1"/>
  </cols>
  <sheetData>
    <row r="1" spans="1:3" x14ac:dyDescent="0.3">
      <c r="A1" s="38" t="s">
        <v>114</v>
      </c>
      <c r="B1" s="39"/>
      <c r="C1" s="40"/>
    </row>
    <row r="2" spans="1:3" x14ac:dyDescent="0.3">
      <c r="A2" s="41"/>
      <c r="B2" s="42"/>
      <c r="C2" s="43"/>
    </row>
    <row r="3" spans="1:3" ht="15" thickBot="1" x14ac:dyDescent="0.35">
      <c r="A3" s="44"/>
      <c r="B3" s="45"/>
      <c r="C3" s="46"/>
    </row>
    <row r="4" spans="1:3" x14ac:dyDescent="0.3">
      <c r="A4" s="47" t="s">
        <v>115</v>
      </c>
      <c r="B4" s="48"/>
      <c r="C4" s="49"/>
    </row>
    <row r="5" spans="1:3" ht="15" thickBot="1" x14ac:dyDescent="0.35">
      <c r="A5" s="50"/>
      <c r="B5" s="51"/>
      <c r="C5" s="52"/>
    </row>
    <row r="6" spans="1:3" ht="15" thickBot="1" x14ac:dyDescent="0.35">
      <c r="A6" s="5" t="s">
        <v>98</v>
      </c>
      <c r="B6" s="5" t="s">
        <v>99</v>
      </c>
      <c r="C6" s="5" t="s">
        <v>100</v>
      </c>
    </row>
    <row r="7" spans="1:3" ht="16.2" thickBot="1" x14ac:dyDescent="0.35">
      <c r="A7" s="78" t="s">
        <v>116</v>
      </c>
      <c r="B7" s="79"/>
      <c r="C7" s="80"/>
    </row>
    <row r="8" spans="1:3" ht="37.200000000000003" customHeight="1" x14ac:dyDescent="0.3">
      <c r="A8" s="32">
        <v>1</v>
      </c>
      <c r="B8" s="33" t="s">
        <v>117</v>
      </c>
      <c r="C8" s="35" t="s">
        <v>123</v>
      </c>
    </row>
    <row r="9" spans="1:3" ht="36.6" customHeight="1" x14ac:dyDescent="0.3">
      <c r="A9" s="26">
        <v>2</v>
      </c>
      <c r="B9" s="31" t="s">
        <v>118</v>
      </c>
      <c r="C9" s="36" t="s">
        <v>124</v>
      </c>
    </row>
    <row r="10" spans="1:3" ht="34.799999999999997" customHeight="1" thickBot="1" x14ac:dyDescent="0.35">
      <c r="A10" s="23">
        <v>3</v>
      </c>
      <c r="B10" s="20" t="s">
        <v>119</v>
      </c>
      <c r="C10" s="37" t="s">
        <v>125</v>
      </c>
    </row>
  </sheetData>
  <mergeCells count="3">
    <mergeCell ref="A1:C3"/>
    <mergeCell ref="A4:C5"/>
    <mergeCell ref="A7:C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D420F3-8164-4CBC-9546-19EF8323FA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Sales_DB_Dataset</vt:lpstr>
      <vt:lpstr>Sales_DB(Copy)</vt:lpstr>
      <vt:lpstr>Aggregate_Functions</vt:lpstr>
      <vt:lpstr>Logical_IF</vt:lpstr>
      <vt:lpstr>Conditional_Functions</vt:lpstr>
      <vt:lpstr>Text_Functions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Kandan</dc:creator>
  <cp:lastModifiedBy>Mani Kandan</cp:lastModifiedBy>
  <dcterms:created xsi:type="dcterms:W3CDTF">2026-10-29T03:47:44Z</dcterms:created>
  <dcterms:modified xsi:type="dcterms:W3CDTF">2026-10-29T09:31:14Z</dcterms:modified>
</cp:coreProperties>
</file>